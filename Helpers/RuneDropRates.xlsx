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Repos\D2_SoloLeveling\Helpers\"/>
    </mc:Choice>
  </mc:AlternateContent>
  <xr:revisionPtr revIDLastSave="0" documentId="8_{D9EFC9D8-4858-47DC-A0CA-E2C8697A37F9}" xr6:coauthVersionLast="47" xr6:coauthVersionMax="47" xr10:uidLastSave="{00000000-0000-0000-0000-000000000000}"/>
  <bookViews>
    <workbookView xWindow="-120" yWindow="-120" windowWidth="29040" windowHeight="15720" xr2:uid="{641A4AB9-778D-456F-9D0B-E85BBDF83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10" i="1"/>
  <c r="G11" i="1"/>
  <c r="G12" i="1"/>
  <c r="G18" i="1"/>
  <c r="F18" i="1"/>
  <c r="H18" i="1" s="1"/>
  <c r="F2" i="1"/>
  <c r="F8" i="1"/>
  <c r="F9" i="1"/>
  <c r="F10" i="1"/>
  <c r="F16" i="1"/>
  <c r="F17" i="1"/>
  <c r="B20" i="1"/>
  <c r="G5" i="1" s="1"/>
  <c r="H17" i="1" l="1"/>
  <c r="G3" i="1"/>
  <c r="G2" i="1"/>
  <c r="H7" i="1" s="1"/>
  <c r="F5" i="1"/>
  <c r="E18" i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  <c r="F12" i="1"/>
  <c r="H15" i="1" s="1"/>
  <c r="F4" i="1"/>
  <c r="G14" i="1"/>
  <c r="G6" i="1"/>
  <c r="F15" i="1"/>
  <c r="F7" i="1"/>
  <c r="G17" i="1"/>
  <c r="G9" i="1"/>
  <c r="F14" i="1"/>
  <c r="F6" i="1"/>
  <c r="G16" i="1"/>
  <c r="G8" i="1"/>
  <c r="H11" i="1" s="1"/>
  <c r="F13" i="1"/>
  <c r="G15" i="1"/>
  <c r="G7" i="1"/>
  <c r="F11" i="1"/>
  <c r="F3" i="1"/>
  <c r="G13" i="1"/>
</calcChain>
</file>

<file path=xl/sharedStrings.xml><?xml version="1.0" encoding="utf-8"?>
<sst xmlns="http://schemas.openxmlformats.org/spreadsheetml/2006/main" count="42" uniqueCount="42">
  <si>
    <t>Prob 1</t>
  </si>
  <si>
    <t>Prob 2</t>
  </si>
  <si>
    <t>El - #1</t>
  </si>
  <si>
    <t>Eld - #2</t>
  </si>
  <si>
    <t>Tir - #3</t>
  </si>
  <si>
    <t>Nef - #4</t>
  </si>
  <si>
    <t>Eth - #5</t>
  </si>
  <si>
    <t>Ith - #6</t>
  </si>
  <si>
    <t>Tal - #7</t>
  </si>
  <si>
    <t>Ral - #8</t>
  </si>
  <si>
    <t>Ort - #9</t>
  </si>
  <si>
    <t>Thul - #10</t>
  </si>
  <si>
    <t>Amn - #11</t>
  </si>
  <si>
    <t>Sol - #12</t>
  </si>
  <si>
    <t>Shael - #13</t>
  </si>
  <si>
    <t>Dol - #14</t>
  </si>
  <si>
    <t>Hel - #15</t>
  </si>
  <si>
    <t>Io #16</t>
  </si>
  <si>
    <t>Lum - #17</t>
  </si>
  <si>
    <t>Ko - #18</t>
  </si>
  <si>
    <t>Fal - #19</t>
  </si>
  <si>
    <t>Lem - #20</t>
  </si>
  <si>
    <t>Pul - #21</t>
  </si>
  <si>
    <t>Um - #22</t>
  </si>
  <si>
    <t>Mal - #23</t>
  </si>
  <si>
    <t>Gul - #25</t>
  </si>
  <si>
    <t>Ohm - #27</t>
  </si>
  <si>
    <t>Sur - #29</t>
  </si>
  <si>
    <t>Jah - #31</t>
  </si>
  <si>
    <t>Zod - #33</t>
  </si>
  <si>
    <t>Ist - #24</t>
  </si>
  <si>
    <t>Vex - #26</t>
  </si>
  <si>
    <t>Lo - #28</t>
  </si>
  <si>
    <t>Ber - #30</t>
  </si>
  <si>
    <t>Cham - #32</t>
  </si>
  <si>
    <t>Total Prob:</t>
  </si>
  <si>
    <t>Prob Next</t>
  </si>
  <si>
    <t>R1</t>
  </si>
  <si>
    <t>R2</t>
  </si>
  <si>
    <t>R2%_Total</t>
  </si>
  <si>
    <t>R1%_Total</t>
  </si>
  <si>
    <t>Group%_Total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</si>
</sst>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79D1-1D31-4EF0-99A6-A3EFC2D7A4FD}">
  <dimension ref="A1:H20"/>
  <sheetViews>
    <sheetView tabSelected="1" workbookViewId="0">
      <selection activeCell="K21" sqref="K21"/>
    </sheetView>
  </sheetViews>
  <sheetFormatPr defaultRowHeight="14.25"/>
  <cols>
    <col min="1" max="1" width="12.5" customWidth="1"/>
    <col min="2" max="2" width="11.875" customWidth="1"/>
    <col min="3" max="3" width="7" customWidth="1"/>
    <col min="4" max="4" width="7.125" customWidth="1"/>
    <col min="6" max="6" width="10.625" customWidth="1"/>
    <col min="7" max="7" width="14.625" customWidth="1"/>
    <col min="8" max="8" width="20.875" customWidth="1"/>
  </cols>
  <sheetData>
    <row r="1" spans="1:8">
      <c r="A1" t="s">
        <v>37</v>
      </c>
      <c r="B1" t="s">
        <v>38</v>
      </c>
      <c r="C1" t="s">
        <v>0</v>
      </c>
      <c r="D1" t="s">
        <v>1</v>
      </c>
      <c r="E1" t="s">
        <v>36</v>
      </c>
      <c r="F1" t="s">
        <v>40</v>
      </c>
      <c r="G1" t="s">
        <v>39</v>
      </c>
      <c r="H1" t="s">
        <v>41</v>
      </c>
    </row>
    <row r="2" spans="1:8">
      <c r="A2" s="1" t="s">
        <v>2</v>
      </c>
      <c r="B2" s="1" t="s">
        <v>3</v>
      </c>
      <c r="C2">
        <v>80</v>
      </c>
      <c r="D2">
        <v>80</v>
      </c>
      <c r="E2">
        <f t="shared" ref="E2:E16" si="0">E3-D2-C2</f>
        <v>0</v>
      </c>
      <c r="F2">
        <f t="shared" ref="F2:F17" si="1">(C2/$B$20)*100</f>
        <v>5.1813471502590671</v>
      </c>
      <c r="G2">
        <f t="shared" ref="G2:G17" si="2">(D2/$B$20)*100</f>
        <v>5.1813471502590671</v>
      </c>
    </row>
    <row r="3" spans="1:8">
      <c r="A3" s="1" t="s">
        <v>4</v>
      </c>
      <c r="B3" s="1" t="s">
        <v>5</v>
      </c>
      <c r="C3">
        <v>80</v>
      </c>
      <c r="D3">
        <v>80</v>
      </c>
      <c r="E3">
        <f t="shared" si="0"/>
        <v>160</v>
      </c>
      <c r="F3">
        <f t="shared" si="1"/>
        <v>5.1813471502590671</v>
      </c>
      <c r="G3">
        <f t="shared" si="2"/>
        <v>5.1813471502590671</v>
      </c>
    </row>
    <row r="4" spans="1:8">
      <c r="A4" s="1" t="s">
        <v>6</v>
      </c>
      <c r="B4" s="1" t="s">
        <v>7</v>
      </c>
      <c r="C4">
        <v>75</v>
      </c>
      <c r="D4">
        <v>75</v>
      </c>
      <c r="E4">
        <f t="shared" si="0"/>
        <v>320</v>
      </c>
      <c r="F4">
        <f t="shared" si="1"/>
        <v>4.8575129533678751</v>
      </c>
      <c r="G4">
        <f t="shared" si="2"/>
        <v>4.8575129533678751</v>
      </c>
    </row>
    <row r="5" spans="1:8">
      <c r="A5" s="1" t="s">
        <v>8</v>
      </c>
      <c r="B5" s="1" t="s">
        <v>9</v>
      </c>
      <c r="C5">
        <v>75</v>
      </c>
      <c r="D5">
        <v>75</v>
      </c>
      <c r="E5">
        <f t="shared" si="0"/>
        <v>470</v>
      </c>
      <c r="F5">
        <f t="shared" si="1"/>
        <v>4.8575129533678751</v>
      </c>
      <c r="G5">
        <f t="shared" si="2"/>
        <v>4.8575129533678751</v>
      </c>
    </row>
    <row r="6" spans="1:8">
      <c r="A6" s="1" t="s">
        <v>10</v>
      </c>
      <c r="B6" s="1" t="s">
        <v>11</v>
      </c>
      <c r="C6">
        <v>70</v>
      </c>
      <c r="D6">
        <v>70</v>
      </c>
      <c r="E6">
        <f t="shared" si="0"/>
        <v>620</v>
      </c>
      <c r="F6">
        <f t="shared" si="1"/>
        <v>4.5336787564766841</v>
      </c>
      <c r="G6">
        <f t="shared" si="2"/>
        <v>4.5336787564766841</v>
      </c>
    </row>
    <row r="7" spans="1:8">
      <c r="A7" s="1" t="s">
        <v>12</v>
      </c>
      <c r="B7" s="1" t="s">
        <v>13</v>
      </c>
      <c r="C7">
        <v>70</v>
      </c>
      <c r="D7">
        <v>69</v>
      </c>
      <c r="E7">
        <f t="shared" si="0"/>
        <v>760</v>
      </c>
      <c r="F7">
        <f t="shared" si="1"/>
        <v>4.5336787564766841</v>
      </c>
      <c r="G7">
        <f t="shared" si="2"/>
        <v>4.4689119170984455</v>
      </c>
      <c r="H7" s="1">
        <f>SUM(F2:G7)</f>
        <v>58.225388601036258</v>
      </c>
    </row>
    <row r="8" spans="1:8">
      <c r="A8" s="2" t="s">
        <v>14</v>
      </c>
      <c r="B8" s="2" t="s">
        <v>15</v>
      </c>
      <c r="C8">
        <v>60</v>
      </c>
      <c r="D8">
        <v>59</v>
      </c>
      <c r="E8">
        <f t="shared" si="0"/>
        <v>899</v>
      </c>
      <c r="F8">
        <f t="shared" si="1"/>
        <v>3.8860103626943006</v>
      </c>
      <c r="G8">
        <f t="shared" si="2"/>
        <v>3.821243523316062</v>
      </c>
    </row>
    <row r="9" spans="1:8">
      <c r="A9" s="2" t="s">
        <v>16</v>
      </c>
      <c r="B9" s="2" t="s">
        <v>17</v>
      </c>
      <c r="C9">
        <v>56</v>
      </c>
      <c r="D9">
        <v>53</v>
      </c>
      <c r="E9">
        <f t="shared" si="0"/>
        <v>1018</v>
      </c>
      <c r="F9">
        <f t="shared" si="1"/>
        <v>3.6269430051813467</v>
      </c>
      <c r="G9">
        <f t="shared" si="2"/>
        <v>3.4326424870466319</v>
      </c>
    </row>
    <row r="10" spans="1:8">
      <c r="A10" s="2" t="s">
        <v>18</v>
      </c>
      <c r="B10" s="2" t="s">
        <v>19</v>
      </c>
      <c r="C10">
        <v>50</v>
      </c>
      <c r="D10">
        <v>48</v>
      </c>
      <c r="E10">
        <f t="shared" si="0"/>
        <v>1127</v>
      </c>
      <c r="F10">
        <f t="shared" si="1"/>
        <v>3.2383419689119166</v>
      </c>
      <c r="G10">
        <f t="shared" si="2"/>
        <v>3.1088082901554404</v>
      </c>
    </row>
    <row r="11" spans="1:8">
      <c r="A11" s="2" t="s">
        <v>20</v>
      </c>
      <c r="B11" s="2" t="s">
        <v>21</v>
      </c>
      <c r="C11">
        <v>46</v>
      </c>
      <c r="D11">
        <v>44</v>
      </c>
      <c r="E11">
        <f t="shared" si="0"/>
        <v>1225</v>
      </c>
      <c r="F11">
        <f t="shared" si="1"/>
        <v>2.9792746113989637</v>
      </c>
      <c r="G11">
        <f t="shared" si="2"/>
        <v>2.849740932642487</v>
      </c>
      <c r="H11" s="8">
        <f>SUM(F8:G11)</f>
        <v>26.94300518134715</v>
      </c>
    </row>
    <row r="12" spans="1:8">
      <c r="A12" s="3" t="s">
        <v>22</v>
      </c>
      <c r="B12" s="3" t="s">
        <v>23</v>
      </c>
      <c r="C12">
        <v>27</v>
      </c>
      <c r="D12">
        <v>26</v>
      </c>
      <c r="E12">
        <f t="shared" si="0"/>
        <v>1315</v>
      </c>
      <c r="F12">
        <f t="shared" si="1"/>
        <v>1.7487046632124352</v>
      </c>
      <c r="G12">
        <f t="shared" si="2"/>
        <v>1.6839378238341969</v>
      </c>
    </row>
    <row r="13" spans="1:8">
      <c r="A13" s="3" t="s">
        <v>24</v>
      </c>
      <c r="B13" s="3" t="s">
        <v>30</v>
      </c>
      <c r="C13">
        <v>25</v>
      </c>
      <c r="D13">
        <v>24</v>
      </c>
      <c r="E13">
        <f t="shared" si="0"/>
        <v>1368</v>
      </c>
      <c r="F13">
        <f t="shared" si="1"/>
        <v>1.6191709844559583</v>
      </c>
      <c r="G13">
        <f t="shared" si="2"/>
        <v>1.5544041450777202</v>
      </c>
    </row>
    <row r="14" spans="1:8">
      <c r="A14" s="3" t="s">
        <v>25</v>
      </c>
      <c r="B14" s="3" t="s">
        <v>31</v>
      </c>
      <c r="C14">
        <v>23</v>
      </c>
      <c r="D14">
        <v>22</v>
      </c>
      <c r="E14">
        <f t="shared" si="0"/>
        <v>1417</v>
      </c>
      <c r="F14">
        <f t="shared" si="1"/>
        <v>1.4896373056994818</v>
      </c>
      <c r="G14">
        <f t="shared" si="2"/>
        <v>1.4248704663212435</v>
      </c>
    </row>
    <row r="15" spans="1:8">
      <c r="A15" s="3" t="s">
        <v>26</v>
      </c>
      <c r="B15" s="3" t="s">
        <v>32</v>
      </c>
      <c r="C15">
        <v>21</v>
      </c>
      <c r="D15">
        <v>20</v>
      </c>
      <c r="E15">
        <f t="shared" si="0"/>
        <v>1462</v>
      </c>
      <c r="F15">
        <f t="shared" si="1"/>
        <v>1.3601036269430051</v>
      </c>
      <c r="G15">
        <f t="shared" si="2"/>
        <v>1.2953367875647668</v>
      </c>
      <c r="H15" s="7">
        <f>SUM(F12:G15)</f>
        <v>12.176165803108805</v>
      </c>
    </row>
    <row r="16" spans="1:8">
      <c r="A16" s="4" t="s">
        <v>27</v>
      </c>
      <c r="B16" s="4" t="s">
        <v>33</v>
      </c>
      <c r="C16">
        <v>11</v>
      </c>
      <c r="D16">
        <v>10</v>
      </c>
      <c r="E16">
        <f t="shared" si="0"/>
        <v>1503</v>
      </c>
      <c r="F16">
        <f t="shared" si="1"/>
        <v>0.71243523316062174</v>
      </c>
      <c r="G16">
        <f t="shared" si="2"/>
        <v>0.64766839378238339</v>
      </c>
    </row>
    <row r="17" spans="1:8">
      <c r="A17" s="4" t="s">
        <v>28</v>
      </c>
      <c r="B17" s="4" t="s">
        <v>34</v>
      </c>
      <c r="C17">
        <v>9</v>
      </c>
      <c r="D17">
        <v>8</v>
      </c>
      <c r="E17">
        <f>E18-D17-C17</f>
        <v>1524</v>
      </c>
      <c r="F17">
        <f t="shared" si="1"/>
        <v>0.58290155440414504</v>
      </c>
      <c r="G17">
        <f t="shared" si="2"/>
        <v>0.5181347150259068</v>
      </c>
      <c r="H17" s="4">
        <f>SUM(F16:G17)</f>
        <v>2.4611398963730569</v>
      </c>
    </row>
    <row r="18" spans="1:8">
      <c r="A18" s="5" t="s">
        <v>29</v>
      </c>
      <c r="B18" s="6"/>
      <c r="C18">
        <v>3</v>
      </c>
      <c r="D18">
        <v>0</v>
      </c>
      <c r="E18">
        <f>$B$20-D18-C18</f>
        <v>1541</v>
      </c>
      <c r="F18">
        <f>(C18/$B$20)*100</f>
        <v>0.19430051813471502</v>
      </c>
      <c r="G18">
        <f>(D18/$B$20)*100</f>
        <v>0</v>
      </c>
      <c r="H18" s="5">
        <f>SUM(F18:G18)</f>
        <v>0.19430051813471502</v>
      </c>
    </row>
    <row r="20" spans="1:8">
      <c r="A20" t="s">
        <v>35</v>
      </c>
      <c r="B20">
        <f>(SUM(C2:C18)+SUM(D2:D17))</f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Eisenhart</dc:creator>
  <cp:lastModifiedBy>Edward Eisenhart</cp:lastModifiedBy>
  <dcterms:created xsi:type="dcterms:W3CDTF">2026-04-20T22:37:53Z</dcterms:created>
  <dcterms:modified xsi:type="dcterms:W3CDTF">2026-04-20T22:52:35Z</dcterms:modified>
</cp:coreProperties>
</file>